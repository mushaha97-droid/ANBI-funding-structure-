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 Data" sheetId="2" state="visible" r:id="rId4"/>
    <sheet name="Summary by NGO" sheetId="3" state="visible" r:id="rId5"/>
    <sheet name="Categori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<sst xmlns="http://schemas.openxmlformats.org/spreadsheetml/2006/main" count="327" uniqueCount="128">
  <si>
    <t xml:space="preserve">NGO Income Source Dataset — RAAP! Fundraising Benchmark Study</t>
  </si>
  <si>
    <t xml:space="preserve">Purpose</t>
  </si>
  <si>
    <t xml:space="preserve">Benchmark dataset of income sources from NGOs working in regenerative agriculture, nature restoration, and sustainable land use. Used to inform RAAP!'s fundraising strategy.</t>
  </si>
  <si>
    <t xml:space="preserve">Sheets</t>
  </si>
  <si>
    <t xml:space="preserve">Raw Data</t>
  </si>
  <si>
    <t xml:space="preserve">One row per (NGO, income source item). Long format. The unit of analysis.</t>
  </si>
  <si>
    <t xml:space="preserve">Summary by NGO</t>
  </si>
  <si>
    <t xml:space="preserve">Pivoted view: one row per NGO with totals and category breakdown.</t>
  </si>
  <si>
    <t xml:space="preserve">Categories</t>
  </si>
  <si>
    <t xml:space="preserve">Definition of the five income source categories used in this analysis.</t>
  </si>
  <si>
    <t xml:space="preserve">Categories used</t>
  </si>
  <si>
    <t xml:space="preserve">donation | business | community_engagement | government | capital</t>
  </si>
  <si>
    <t xml:space="preserve">Currency handling</t>
  </si>
  <si>
    <t xml:space="preserve">All amounts converted to EUR for comparison.</t>
  </si>
  <si>
    <t xml:space="preserve">USD to EUR rate</t>
  </si>
  <si>
    <t xml:space="preserve">GBP to EUR rate</t>
  </si>
  <si>
    <t xml:space="preserve">Note</t>
  </si>
  <si>
    <t xml:space="preserve">2023 average rates. Original local-currency values preserved in the 'currency' and 'amount_local' columns.</t>
  </si>
  <si>
    <t xml:space="preserve">Data sources</t>
  </si>
  <si>
    <t xml:space="preserve">Public annual reports and Standaard Publicatieplicht filings (2022-2024).</t>
  </si>
  <si>
    <t xml:space="preserve">NGOs included</t>
  </si>
  <si>
    <t xml:space="preserve">Source records</t>
  </si>
  <si>
    <t xml:space="preserve">Reporting years covered</t>
  </si>
  <si>
    <t xml:space="preserve">2022 - 2024</t>
  </si>
  <si>
    <t xml:space="preserve">ngo_name</t>
  </si>
  <si>
    <t xml:space="preserve">year</t>
  </si>
  <si>
    <t xml:space="preserve">currency</t>
  </si>
  <si>
    <t xml:space="preserve">source_item</t>
  </si>
  <si>
    <t xml:space="preserve">source_category</t>
  </si>
  <si>
    <t xml:space="preserve">amount_local</t>
  </si>
  <si>
    <t xml:space="preserve">amount_eur</t>
  </si>
  <si>
    <t xml:space="preserve">Commonland</t>
  </si>
  <si>
    <t xml:space="preserve">EUR</t>
  </si>
  <si>
    <t xml:space="preserve">Other non-profit organizations</t>
  </si>
  <si>
    <t xml:space="preserve">business</t>
  </si>
  <si>
    <t xml:space="preserve">Other income</t>
  </si>
  <si>
    <t xml:space="preserve">capital</t>
  </si>
  <si>
    <t xml:space="preserve">Particular individuals</t>
  </si>
  <si>
    <t xml:space="preserve">donation</t>
  </si>
  <si>
    <t xml:space="preserve">Lottery organizations</t>
  </si>
  <si>
    <t xml:space="preserve">government</t>
  </si>
  <si>
    <t xml:space="preserve">Cooperatie Land van Ons</t>
  </si>
  <si>
    <t xml:space="preserve">Land-related Income</t>
  </si>
  <si>
    <t xml:space="preserve">Interest on savings</t>
  </si>
  <si>
    <t xml:space="preserve">Member Contributions (~26,230 members)</t>
  </si>
  <si>
    <t xml:space="preserve">community_engagement</t>
  </si>
  <si>
    <t xml:space="preserve">Grants and donations</t>
  </si>
  <si>
    <t xml:space="preserve">Government subsidy (Polderlab)</t>
  </si>
  <si>
    <t xml:space="preserve">Foundation reNature</t>
  </si>
  <si>
    <t xml:space="preserve">Interest receivable</t>
  </si>
  <si>
    <t xml:space="preserve">Gifts from small farmers</t>
  </si>
  <si>
    <t xml:space="preserve">Justdiggit Foundation</t>
  </si>
  <si>
    <t xml:space="preserve">Corporate donors</t>
  </si>
  <si>
    <t xml:space="preserve">Nonprofit organizations</t>
  </si>
  <si>
    <t xml:space="preserve">Sale of products or services</t>
  </si>
  <si>
    <t xml:space="preserve">Private donors</t>
  </si>
  <si>
    <t xml:space="preserve">Governments, grants, subsidies</t>
  </si>
  <si>
    <t xml:space="preserve">Natuurmonumenten</t>
  </si>
  <si>
    <t xml:space="preserve">Companies</t>
  </si>
  <si>
    <t xml:space="preserve">Other Nonprofit Organizations</t>
  </si>
  <si>
    <t xml:space="preserve">Donations and gifts (individuals)</t>
  </si>
  <si>
    <t xml:space="preserve">Legacies</t>
  </si>
  <si>
    <t xml:space="preserve">Postcode Loterij</t>
  </si>
  <si>
    <t xml:space="preserve">Government Subsidies</t>
  </si>
  <si>
    <t xml:space="preserve">Regenerative Organic Alliance</t>
  </si>
  <si>
    <t xml:space="preserve">USD</t>
  </si>
  <si>
    <t xml:space="preserve">Allies Sponsorships</t>
  </si>
  <si>
    <t xml:space="preserve">Program Services</t>
  </si>
  <si>
    <t xml:space="preserve">Direct Contributions</t>
  </si>
  <si>
    <t xml:space="preserve">Charitable Contributions</t>
  </si>
  <si>
    <t xml:space="preserve">In-Kind Contributions</t>
  </si>
  <si>
    <t xml:space="preserve">Grants Income</t>
  </si>
  <si>
    <t xml:space="preserve">Soil Association Group</t>
  </si>
  <si>
    <t xml:space="preserve">GBP</t>
  </si>
  <si>
    <t xml:space="preserve">Charitable Activities</t>
  </si>
  <si>
    <t xml:space="preserve">Investment Income</t>
  </si>
  <si>
    <t xml:space="preserve">Other Trading Activities</t>
  </si>
  <si>
    <t xml:space="preserve">Donations &amp; Legacies</t>
  </si>
  <si>
    <t xml:space="preserve">Standaard Publicatieplicht Fondsen</t>
  </si>
  <si>
    <t xml:space="preserve">Other Income</t>
  </si>
  <si>
    <t xml:space="preserve">Contributions from Farms</t>
  </si>
  <si>
    <t xml:space="preserve">Grants from Other Funds</t>
  </si>
  <si>
    <t xml:space="preserve">Stichting BD Grondbeheer</t>
  </si>
  <si>
    <t xml:space="preserve">Recharged lease (third-party)</t>
  </si>
  <si>
    <t xml:space="preserve">Rental income</t>
  </si>
  <si>
    <t xml:space="preserve">Profit on land sales</t>
  </si>
  <si>
    <t xml:space="preserve">Perpetual Bonds</t>
  </si>
  <si>
    <t xml:space="preserve">Lease Income from farmers</t>
  </si>
  <si>
    <t xml:space="preserve">Donations (gifts and legacies)</t>
  </si>
  <si>
    <t xml:space="preserve">Forgiven loan repayments</t>
  </si>
  <si>
    <t xml:space="preserve">Other income (interest, deposits)</t>
  </si>
  <si>
    <t xml:space="preserve">Stichting Herenboeren Nederland</t>
  </si>
  <si>
    <t xml:space="preserve">One-time Entrance Fees</t>
  </si>
  <si>
    <t xml:space="preserve">Membership Contributions</t>
  </si>
  <si>
    <t xml:space="preserve">Grants and Donations</t>
  </si>
  <si>
    <t xml:space="preserve">Stichting Lente Land</t>
  </si>
  <si>
    <t xml:space="preserve">Revenue from investments and funds raised</t>
  </si>
  <si>
    <t xml:space="preserve">Stichting Voedselbosbouw Nederland</t>
  </si>
  <si>
    <t xml:space="preserve">Donations from foundations</t>
  </si>
  <si>
    <t xml:space="preserve">Sponsorships and company support</t>
  </si>
  <si>
    <t xml:space="preserve">In-kind services and minor projects</t>
  </si>
  <si>
    <t xml:space="preserve">Private donations</t>
  </si>
  <si>
    <t xml:space="preserve">Government and public agency grants</t>
  </si>
  <si>
    <t xml:space="preserve">Trees for All</t>
  </si>
  <si>
    <t xml:space="preserve">Businesses</t>
  </si>
  <si>
    <t xml:space="preserve">Other Non-Profit Organisations</t>
  </si>
  <si>
    <t xml:space="preserve">Private Individuals</t>
  </si>
  <si>
    <t xml:space="preserve">Lottery Organisations</t>
  </si>
  <si>
    <t xml:space="preserve">Urgenda</t>
  </si>
  <si>
    <t xml:space="preserve">Other projects</t>
  </si>
  <si>
    <t xml:space="preserve">Non-profit organizations / foundations</t>
  </si>
  <si>
    <t xml:space="preserve">Third-party actions / campaigns</t>
  </si>
  <si>
    <t xml:space="preserve">Own fundraising (individuals)</t>
  </si>
  <si>
    <t xml:space="preserve">Government funding</t>
  </si>
  <si>
    <t xml:space="preserve">total_eur</t>
  </si>
  <si>
    <t xml:space="preserve">Category</t>
  </si>
  <si>
    <t xml:space="preserve">Definition</t>
  </si>
  <si>
    <t xml:space="preserve">Examples</t>
  </si>
  <si>
    <t xml:space="preserve">Voluntary unrestricted gifts from individuals or estates</t>
  </si>
  <si>
    <t xml:space="preserve">Private donor gifts, legacies, one-off contributions</t>
  </si>
  <si>
    <t xml:space="preserve">Income from corporate sponsors, foundations, or commercial activity</t>
  </si>
  <si>
    <t xml:space="preserve">Corporate sponsorships, foundation grants, sales of services to companies</t>
  </si>
  <si>
    <t xml:space="preserve">Income tied to community participation, membership, or producer relationships</t>
  </si>
  <si>
    <t xml:space="preserve">Member fees, lease payments from farmers, program services, in-kind contributions</t>
  </si>
  <si>
    <t xml:space="preserve">Public funding from national/EU government, agencies, or lottery bodies</t>
  </si>
  <si>
    <t xml:space="preserve">EU grants, ministry subsidies, RVO, Postcode Loterij (statutory)</t>
  </si>
  <si>
    <t xml:space="preserve">Returns on assets, investments, or land</t>
  </si>
  <si>
    <t xml:space="preserve">Investment income, interest on savings, perpetual bonds, land returns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</si>
</sst>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2F549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27.75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/>
      <c r="B2" s="3"/>
    </row>
    <row r="3" customFormat="false" ht="26.8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/>
      <c r="B4" s="3"/>
    </row>
    <row r="5" customFormat="false" ht="15" hidden="false" customHeight="false" outlineLevel="0" collapsed="false">
      <c r="A5" s="4" t="s">
        <v>3</v>
      </c>
      <c r="B5" s="3"/>
    </row>
    <row r="6" customFormat="false" ht="15" hidden="false" customHeight="false" outlineLevel="0" collapsed="false">
      <c r="A6" s="2" t="s">
        <v>4</v>
      </c>
      <c r="B6" s="3" t="s">
        <v>5</v>
      </c>
    </row>
    <row r="7" customFormat="false" ht="15" hidden="false" customHeight="false" outlineLevel="0" collapsed="false">
      <c r="A7" s="2" t="s">
        <v>6</v>
      </c>
      <c r="B7" s="3" t="s">
        <v>7</v>
      </c>
    </row>
    <row r="8" customFormat="false" ht="15" hidden="false" customHeight="false" outlineLevel="0" collapsed="false">
      <c r="A8" s="2" t="s">
        <v>8</v>
      </c>
      <c r="B8" s="3" t="s">
        <v>9</v>
      </c>
    </row>
    <row r="9" customFormat="false" ht="15" hidden="false" customHeight="false" outlineLevel="0" collapsed="false">
      <c r="A9" s="2"/>
      <c r="B9" s="3"/>
    </row>
    <row r="10" customFormat="false" ht="15" hidden="false" customHeight="false" outlineLevel="0" collapsed="false">
      <c r="A10" s="2" t="s">
        <v>10</v>
      </c>
      <c r="B10" s="3" t="s">
        <v>11</v>
      </c>
    </row>
    <row r="11" customFormat="false" ht="15" hidden="false" customHeight="false" outlineLevel="0" collapsed="false">
      <c r="A11" s="2"/>
      <c r="B11" s="3"/>
    </row>
    <row r="12" customFormat="false" ht="15" hidden="false" customHeight="false" outlineLevel="0" collapsed="false">
      <c r="A12" s="2" t="s">
        <v>12</v>
      </c>
      <c r="B12" s="3" t="s">
        <v>13</v>
      </c>
    </row>
    <row r="13" customFormat="false" ht="15" hidden="false" customHeight="false" outlineLevel="0" collapsed="false">
      <c r="A13" s="2" t="s">
        <v>14</v>
      </c>
      <c r="B13" s="3" t="n">
        <v>0.92</v>
      </c>
    </row>
    <row r="14" customFormat="false" ht="15" hidden="false" customHeight="false" outlineLevel="0" collapsed="false">
      <c r="A14" s="2" t="s">
        <v>15</v>
      </c>
      <c r="B14" s="3" t="n">
        <v>1.15</v>
      </c>
    </row>
    <row r="15" customFormat="false" ht="26.85" hidden="false" customHeight="false" outlineLevel="0" collapsed="false">
      <c r="A15" s="2" t="s">
        <v>16</v>
      </c>
      <c r="B15" s="3" t="s">
        <v>17</v>
      </c>
    </row>
    <row r="16" customFormat="false" ht="15" hidden="false" customHeight="false" outlineLevel="0" collapsed="false">
      <c r="A16" s="2"/>
      <c r="B16" s="3"/>
    </row>
    <row r="17" customFormat="false" ht="15" hidden="false" customHeight="false" outlineLevel="0" collapsed="false">
      <c r="A17" s="2" t="s">
        <v>18</v>
      </c>
      <c r="B17" s="3" t="s">
        <v>19</v>
      </c>
    </row>
    <row r="18" customFormat="false" ht="15" hidden="false" customHeight="false" outlineLevel="0" collapsed="false">
      <c r="A18" s="2" t="s">
        <v>20</v>
      </c>
      <c r="B18" s="3" t="n">
        <v>14</v>
      </c>
    </row>
    <row r="19" customFormat="false" ht="15" hidden="false" customHeight="false" outlineLevel="0" collapsed="false">
      <c r="A19" s="2" t="s">
        <v>21</v>
      </c>
      <c r="B19" s="3" t="n">
        <v>64</v>
      </c>
    </row>
    <row r="20" customFormat="false" ht="15" hidden="false" customHeight="false" outlineLevel="0" collapsed="false">
      <c r="A20" s="2" t="s">
        <v>22</v>
      </c>
      <c r="B20" s="3" t="s">
        <v>23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50"/>
    <col collapsed="false" customWidth="true" hidden="false" outlineLevel="0" max="5" min="5" style="0" width="24"/>
    <col collapsed="false" customWidth="true" hidden="false" outlineLevel="0" max="7" min="6" style="0" width="16"/>
  </cols>
  <sheetData>
    <row r="1" customFormat="false" ht="15" hidden="false" customHeight="false" outlineLevel="0" collapsed="false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</row>
    <row r="2" customFormat="false" ht="15" hidden="false" customHeight="false" outlineLevel="0" collapsed="false">
      <c r="A2" s="2" t="s">
        <v>31</v>
      </c>
      <c r="B2" s="2" t="n">
        <v>2023</v>
      </c>
      <c r="C2" s="2" t="s">
        <v>32</v>
      </c>
      <c r="D2" s="2" t="s">
        <v>33</v>
      </c>
      <c r="E2" s="2" t="s">
        <v>34</v>
      </c>
      <c r="F2" s="6" t="n">
        <v>8369684</v>
      </c>
      <c r="G2" s="6" t="n">
        <v>8369684</v>
      </c>
    </row>
    <row r="3" customFormat="false" ht="15" hidden="false" customHeight="false" outlineLevel="0" collapsed="false">
      <c r="A3" s="2" t="s">
        <v>31</v>
      </c>
      <c r="B3" s="2" t="n">
        <v>2023</v>
      </c>
      <c r="C3" s="2" t="s">
        <v>32</v>
      </c>
      <c r="D3" s="2" t="s">
        <v>35</v>
      </c>
      <c r="E3" s="2" t="s">
        <v>36</v>
      </c>
      <c r="F3" s="6" t="n">
        <v>10000</v>
      </c>
      <c r="G3" s="6" t="n">
        <v>10000</v>
      </c>
    </row>
    <row r="4" customFormat="false" ht="15" hidden="false" customHeight="false" outlineLevel="0" collapsed="false">
      <c r="A4" s="2" t="s">
        <v>31</v>
      </c>
      <c r="B4" s="2" t="n">
        <v>2023</v>
      </c>
      <c r="C4" s="2" t="s">
        <v>32</v>
      </c>
      <c r="D4" s="2" t="s">
        <v>37</v>
      </c>
      <c r="E4" s="2" t="s">
        <v>38</v>
      </c>
      <c r="F4" s="6" t="n">
        <v>2000</v>
      </c>
      <c r="G4" s="6" t="n">
        <v>2000</v>
      </c>
    </row>
    <row r="5" customFormat="false" ht="15" hidden="false" customHeight="false" outlineLevel="0" collapsed="false">
      <c r="A5" s="2" t="s">
        <v>31</v>
      </c>
      <c r="B5" s="2" t="n">
        <v>2023</v>
      </c>
      <c r="C5" s="2" t="s">
        <v>32</v>
      </c>
      <c r="D5" s="2" t="s">
        <v>39</v>
      </c>
      <c r="E5" s="2" t="s">
        <v>40</v>
      </c>
      <c r="F5" s="6" t="n">
        <v>1135531</v>
      </c>
      <c r="G5" s="6" t="n">
        <v>1135531</v>
      </c>
    </row>
    <row r="6" customFormat="false" ht="15" hidden="false" customHeight="false" outlineLevel="0" collapsed="false">
      <c r="A6" s="2" t="s">
        <v>41</v>
      </c>
      <c r="B6" s="2" t="n">
        <v>2023</v>
      </c>
      <c r="C6" s="2" t="s">
        <v>32</v>
      </c>
      <c r="D6" s="2" t="s">
        <v>42</v>
      </c>
      <c r="E6" s="2" t="s">
        <v>36</v>
      </c>
      <c r="F6" s="6" t="n">
        <v>668000</v>
      </c>
      <c r="G6" s="6" t="n">
        <v>668000</v>
      </c>
    </row>
    <row r="7" customFormat="false" ht="15" hidden="false" customHeight="false" outlineLevel="0" collapsed="false">
      <c r="A7" s="2" t="s">
        <v>41</v>
      </c>
      <c r="B7" s="2" t="n">
        <v>2023</v>
      </c>
      <c r="C7" s="2" t="s">
        <v>32</v>
      </c>
      <c r="D7" s="2" t="s">
        <v>43</v>
      </c>
      <c r="E7" s="2" t="s">
        <v>36</v>
      </c>
      <c r="F7" s="6" t="n">
        <v>10000</v>
      </c>
      <c r="G7" s="6" t="n">
        <v>10000</v>
      </c>
    </row>
    <row r="8" customFormat="false" ht="15" hidden="false" customHeight="false" outlineLevel="0" collapsed="false">
      <c r="A8" s="2" t="s">
        <v>41</v>
      </c>
      <c r="B8" s="2" t="n">
        <v>2023</v>
      </c>
      <c r="C8" s="2" t="s">
        <v>32</v>
      </c>
      <c r="D8" s="2" t="s">
        <v>44</v>
      </c>
      <c r="E8" s="2" t="s">
        <v>45</v>
      </c>
      <c r="F8" s="6" t="n">
        <v>290000</v>
      </c>
      <c r="G8" s="6" t="n">
        <v>290000</v>
      </c>
    </row>
    <row r="9" customFormat="false" ht="15" hidden="false" customHeight="false" outlineLevel="0" collapsed="false">
      <c r="A9" s="2" t="s">
        <v>41</v>
      </c>
      <c r="B9" s="2" t="n">
        <v>2023</v>
      </c>
      <c r="C9" s="2" t="s">
        <v>32</v>
      </c>
      <c r="D9" s="2" t="s">
        <v>46</v>
      </c>
      <c r="E9" s="2" t="s">
        <v>38</v>
      </c>
      <c r="F9" s="6" t="n">
        <v>303000</v>
      </c>
      <c r="G9" s="6" t="n">
        <v>303000</v>
      </c>
    </row>
    <row r="10" customFormat="false" ht="15" hidden="false" customHeight="false" outlineLevel="0" collapsed="false">
      <c r="A10" s="2" t="s">
        <v>41</v>
      </c>
      <c r="B10" s="2" t="n">
        <v>2023</v>
      </c>
      <c r="C10" s="2" t="s">
        <v>32</v>
      </c>
      <c r="D10" s="2" t="s">
        <v>47</v>
      </c>
      <c r="E10" s="2" t="s">
        <v>40</v>
      </c>
      <c r="F10" s="6" t="n">
        <v>212000</v>
      </c>
      <c r="G10" s="6" t="n">
        <v>212000</v>
      </c>
    </row>
    <row r="11" customFormat="false" ht="15" hidden="false" customHeight="false" outlineLevel="0" collapsed="false">
      <c r="A11" s="2" t="s">
        <v>48</v>
      </c>
      <c r="B11" s="2" t="n">
        <v>2022</v>
      </c>
      <c r="C11" s="2" t="s">
        <v>32</v>
      </c>
      <c r="D11" s="2" t="s">
        <v>49</v>
      </c>
      <c r="E11" s="2" t="s">
        <v>36</v>
      </c>
      <c r="F11" s="6" t="n">
        <v>2568</v>
      </c>
      <c r="G11" s="6" t="n">
        <v>2568</v>
      </c>
    </row>
    <row r="12" customFormat="false" ht="15" hidden="false" customHeight="false" outlineLevel="0" collapsed="false">
      <c r="A12" s="2" t="s">
        <v>48</v>
      </c>
      <c r="B12" s="2" t="n">
        <v>2022</v>
      </c>
      <c r="C12" s="2" t="s">
        <v>32</v>
      </c>
      <c r="D12" s="2" t="s">
        <v>50</v>
      </c>
      <c r="E12" s="2" t="s">
        <v>45</v>
      </c>
      <c r="F12" s="6" t="n">
        <v>431249</v>
      </c>
      <c r="G12" s="6" t="n">
        <v>431249</v>
      </c>
    </row>
    <row r="13" customFormat="false" ht="15" hidden="false" customHeight="false" outlineLevel="0" collapsed="false">
      <c r="A13" s="2" t="s">
        <v>51</v>
      </c>
      <c r="B13" s="2" t="n">
        <v>2023</v>
      </c>
      <c r="C13" s="2" t="s">
        <v>32</v>
      </c>
      <c r="D13" s="2" t="s">
        <v>52</v>
      </c>
      <c r="E13" s="2" t="s">
        <v>34</v>
      </c>
      <c r="F13" s="6" t="n">
        <v>7364220</v>
      </c>
      <c r="G13" s="6" t="n">
        <v>7364220</v>
      </c>
    </row>
    <row r="14" customFormat="false" ht="15" hidden="false" customHeight="false" outlineLevel="0" collapsed="false">
      <c r="A14" s="2" t="s">
        <v>51</v>
      </c>
      <c r="B14" s="2" t="n">
        <v>2023</v>
      </c>
      <c r="C14" s="2" t="s">
        <v>32</v>
      </c>
      <c r="D14" s="2" t="s">
        <v>53</v>
      </c>
      <c r="E14" s="2" t="s">
        <v>34</v>
      </c>
      <c r="F14" s="6" t="n">
        <v>3773420</v>
      </c>
      <c r="G14" s="6" t="n">
        <v>3773420</v>
      </c>
    </row>
    <row r="15" customFormat="false" ht="15" hidden="false" customHeight="false" outlineLevel="0" collapsed="false">
      <c r="A15" s="2" t="s">
        <v>51</v>
      </c>
      <c r="B15" s="2" t="n">
        <v>2023</v>
      </c>
      <c r="C15" s="2" t="s">
        <v>32</v>
      </c>
      <c r="D15" s="2" t="s">
        <v>54</v>
      </c>
      <c r="E15" s="2" t="s">
        <v>45</v>
      </c>
      <c r="F15" s="6" t="n">
        <v>380000</v>
      </c>
      <c r="G15" s="6" t="n">
        <v>380000</v>
      </c>
    </row>
    <row r="16" customFormat="false" ht="15" hidden="false" customHeight="false" outlineLevel="0" collapsed="false">
      <c r="A16" s="2" t="s">
        <v>51</v>
      </c>
      <c r="B16" s="2" t="n">
        <v>2023</v>
      </c>
      <c r="C16" s="2" t="s">
        <v>32</v>
      </c>
      <c r="D16" s="2" t="s">
        <v>55</v>
      </c>
      <c r="E16" s="2" t="s">
        <v>38</v>
      </c>
      <c r="F16" s="6" t="n">
        <v>1916300</v>
      </c>
      <c r="G16" s="6" t="n">
        <v>1916300</v>
      </c>
    </row>
    <row r="17" customFormat="false" ht="15" hidden="false" customHeight="false" outlineLevel="0" collapsed="false">
      <c r="A17" s="2" t="s">
        <v>51</v>
      </c>
      <c r="B17" s="2" t="n">
        <v>2023</v>
      </c>
      <c r="C17" s="2" t="s">
        <v>32</v>
      </c>
      <c r="D17" s="2" t="s">
        <v>56</v>
      </c>
      <c r="E17" s="2" t="s">
        <v>40</v>
      </c>
      <c r="F17" s="6" t="n">
        <v>608031</v>
      </c>
      <c r="G17" s="6" t="n">
        <v>608031</v>
      </c>
    </row>
    <row r="18" customFormat="false" ht="15" hidden="false" customHeight="false" outlineLevel="0" collapsed="false">
      <c r="A18" s="2" t="s">
        <v>57</v>
      </c>
      <c r="B18" s="2" t="n">
        <v>2023</v>
      </c>
      <c r="C18" s="2" t="s">
        <v>32</v>
      </c>
      <c r="D18" s="2" t="s">
        <v>58</v>
      </c>
      <c r="E18" s="2" t="s">
        <v>34</v>
      </c>
      <c r="F18" s="6" t="n">
        <v>965941</v>
      </c>
      <c r="G18" s="6" t="n">
        <v>965941</v>
      </c>
    </row>
    <row r="19" customFormat="false" ht="15" hidden="false" customHeight="false" outlineLevel="0" collapsed="false">
      <c r="A19" s="2" t="s">
        <v>57</v>
      </c>
      <c r="B19" s="2" t="n">
        <v>2023</v>
      </c>
      <c r="C19" s="2" t="s">
        <v>32</v>
      </c>
      <c r="D19" s="2" t="s">
        <v>59</v>
      </c>
      <c r="E19" s="2" t="s">
        <v>34</v>
      </c>
      <c r="F19" s="6" t="n">
        <v>2373701</v>
      </c>
      <c r="G19" s="6" t="n">
        <v>2373701</v>
      </c>
    </row>
    <row r="20" customFormat="false" ht="15" hidden="false" customHeight="false" outlineLevel="0" collapsed="false">
      <c r="A20" s="2" t="s">
        <v>57</v>
      </c>
      <c r="B20" s="2" t="n">
        <v>2023</v>
      </c>
      <c r="C20" s="2" t="s">
        <v>32</v>
      </c>
      <c r="D20" s="2" t="s">
        <v>60</v>
      </c>
      <c r="E20" s="2" t="s">
        <v>38</v>
      </c>
      <c r="F20" s="6" t="n">
        <v>535682</v>
      </c>
      <c r="G20" s="6" t="n">
        <v>535682</v>
      </c>
    </row>
    <row r="21" customFormat="false" ht="15" hidden="false" customHeight="false" outlineLevel="0" collapsed="false">
      <c r="A21" s="2" t="s">
        <v>57</v>
      </c>
      <c r="B21" s="2" t="n">
        <v>2023</v>
      </c>
      <c r="C21" s="2" t="s">
        <v>32</v>
      </c>
      <c r="D21" s="2" t="s">
        <v>61</v>
      </c>
      <c r="E21" s="2" t="s">
        <v>38</v>
      </c>
      <c r="F21" s="6" t="n">
        <v>158153</v>
      </c>
      <c r="G21" s="6" t="n">
        <v>158153</v>
      </c>
    </row>
    <row r="22" customFormat="false" ht="15" hidden="false" customHeight="false" outlineLevel="0" collapsed="false">
      <c r="A22" s="2" t="s">
        <v>57</v>
      </c>
      <c r="B22" s="2" t="n">
        <v>2023</v>
      </c>
      <c r="C22" s="2" t="s">
        <v>32</v>
      </c>
      <c r="D22" s="2" t="s">
        <v>62</v>
      </c>
      <c r="E22" s="2" t="s">
        <v>40</v>
      </c>
      <c r="F22" s="6" t="n">
        <v>3564553</v>
      </c>
      <c r="G22" s="6" t="n">
        <v>3564553</v>
      </c>
    </row>
    <row r="23" customFormat="false" ht="15" hidden="false" customHeight="false" outlineLevel="0" collapsed="false">
      <c r="A23" s="2" t="s">
        <v>57</v>
      </c>
      <c r="B23" s="2" t="n">
        <v>2023</v>
      </c>
      <c r="C23" s="2" t="s">
        <v>32</v>
      </c>
      <c r="D23" s="2" t="s">
        <v>63</v>
      </c>
      <c r="E23" s="2" t="s">
        <v>40</v>
      </c>
      <c r="F23" s="6" t="n">
        <v>729376</v>
      </c>
      <c r="G23" s="6" t="n">
        <v>729376</v>
      </c>
    </row>
    <row r="24" customFormat="false" ht="15" hidden="false" customHeight="false" outlineLevel="0" collapsed="false">
      <c r="A24" s="2" t="s">
        <v>64</v>
      </c>
      <c r="B24" s="2" t="n">
        <v>2024</v>
      </c>
      <c r="C24" s="2" t="s">
        <v>65</v>
      </c>
      <c r="D24" s="2" t="s">
        <v>66</v>
      </c>
      <c r="E24" s="2" t="s">
        <v>34</v>
      </c>
      <c r="F24" s="6" t="n">
        <v>505000</v>
      </c>
      <c r="G24" s="6" t="n">
        <v>464600</v>
      </c>
    </row>
    <row r="25" customFormat="false" ht="15" hidden="false" customHeight="false" outlineLevel="0" collapsed="false">
      <c r="A25" s="2" t="s">
        <v>64</v>
      </c>
      <c r="B25" s="2" t="n">
        <v>2024</v>
      </c>
      <c r="C25" s="2" t="s">
        <v>65</v>
      </c>
      <c r="D25" s="2" t="s">
        <v>67</v>
      </c>
      <c r="E25" s="2" t="s">
        <v>45</v>
      </c>
      <c r="F25" s="6" t="n">
        <v>711800</v>
      </c>
      <c r="G25" s="6" t="n">
        <v>654856</v>
      </c>
    </row>
    <row r="26" customFormat="false" ht="15" hidden="false" customHeight="false" outlineLevel="0" collapsed="false">
      <c r="A26" s="2" t="s">
        <v>64</v>
      </c>
      <c r="B26" s="2" t="n">
        <v>2024</v>
      </c>
      <c r="C26" s="2" t="s">
        <v>65</v>
      </c>
      <c r="D26" s="2" t="s">
        <v>68</v>
      </c>
      <c r="E26" s="2" t="s">
        <v>38</v>
      </c>
      <c r="F26" s="6" t="n">
        <v>105000</v>
      </c>
      <c r="G26" s="6" t="n">
        <v>96600</v>
      </c>
    </row>
    <row r="27" customFormat="false" ht="15" hidden="false" customHeight="false" outlineLevel="0" collapsed="false">
      <c r="A27" s="2" t="s">
        <v>64</v>
      </c>
      <c r="B27" s="2" t="n">
        <v>2024</v>
      </c>
      <c r="C27" s="2" t="s">
        <v>65</v>
      </c>
      <c r="D27" s="2" t="s">
        <v>69</v>
      </c>
      <c r="E27" s="2" t="s">
        <v>38</v>
      </c>
      <c r="F27" s="6" t="n">
        <v>38220</v>
      </c>
      <c r="G27" s="6" t="n">
        <v>35162</v>
      </c>
    </row>
    <row r="28" customFormat="false" ht="15" hidden="false" customHeight="false" outlineLevel="0" collapsed="false">
      <c r="A28" s="2" t="s">
        <v>64</v>
      </c>
      <c r="B28" s="2" t="n">
        <v>2024</v>
      </c>
      <c r="C28" s="2" t="s">
        <v>65</v>
      </c>
      <c r="D28" s="2" t="s">
        <v>70</v>
      </c>
      <c r="E28" s="2" t="s">
        <v>38</v>
      </c>
      <c r="F28" s="6" t="n">
        <v>17220</v>
      </c>
      <c r="G28" s="6" t="n">
        <v>15842</v>
      </c>
    </row>
    <row r="29" customFormat="false" ht="15" hidden="false" customHeight="false" outlineLevel="0" collapsed="false">
      <c r="A29" s="2" t="s">
        <v>64</v>
      </c>
      <c r="B29" s="2" t="n">
        <v>2024</v>
      </c>
      <c r="C29" s="2" t="s">
        <v>65</v>
      </c>
      <c r="D29" s="2" t="s">
        <v>71</v>
      </c>
      <c r="E29" s="2" t="s">
        <v>40</v>
      </c>
      <c r="F29" s="6" t="n">
        <v>300000</v>
      </c>
      <c r="G29" s="6" t="n">
        <v>276000</v>
      </c>
    </row>
    <row r="30" customFormat="false" ht="15" hidden="false" customHeight="false" outlineLevel="0" collapsed="false">
      <c r="A30" s="2" t="s">
        <v>72</v>
      </c>
      <c r="B30" s="2" t="n">
        <v>2023</v>
      </c>
      <c r="C30" s="2" t="s">
        <v>73</v>
      </c>
      <c r="D30" s="2" t="s">
        <v>74</v>
      </c>
      <c r="E30" s="2" t="s">
        <v>34</v>
      </c>
      <c r="F30" s="6" t="n">
        <v>18744000</v>
      </c>
      <c r="G30" s="6" t="n">
        <v>21555600</v>
      </c>
    </row>
    <row r="31" customFormat="false" ht="15" hidden="false" customHeight="false" outlineLevel="0" collapsed="false">
      <c r="A31" s="2" t="s">
        <v>72</v>
      </c>
      <c r="B31" s="2" t="n">
        <v>2023</v>
      </c>
      <c r="C31" s="2" t="s">
        <v>73</v>
      </c>
      <c r="D31" s="2" t="s">
        <v>75</v>
      </c>
      <c r="E31" s="2" t="s">
        <v>36</v>
      </c>
      <c r="F31" s="6" t="n">
        <v>27000</v>
      </c>
      <c r="G31" s="6" t="n">
        <v>31050</v>
      </c>
    </row>
    <row r="32" customFormat="false" ht="15" hidden="false" customHeight="false" outlineLevel="0" collapsed="false">
      <c r="A32" s="2" t="s">
        <v>72</v>
      </c>
      <c r="B32" s="2" t="n">
        <v>2023</v>
      </c>
      <c r="C32" s="2" t="s">
        <v>73</v>
      </c>
      <c r="D32" s="2" t="s">
        <v>76</v>
      </c>
      <c r="E32" s="2" t="s">
        <v>45</v>
      </c>
      <c r="F32" s="6" t="n">
        <v>779000</v>
      </c>
      <c r="G32" s="6" t="n">
        <v>895850</v>
      </c>
    </row>
    <row r="33" customFormat="false" ht="15" hidden="false" customHeight="false" outlineLevel="0" collapsed="false">
      <c r="A33" s="2" t="s">
        <v>72</v>
      </c>
      <c r="B33" s="2" t="n">
        <v>2023</v>
      </c>
      <c r="C33" s="2" t="s">
        <v>73</v>
      </c>
      <c r="D33" s="2" t="s">
        <v>77</v>
      </c>
      <c r="E33" s="2" t="s">
        <v>38</v>
      </c>
      <c r="F33" s="6" t="n">
        <v>1958000</v>
      </c>
      <c r="G33" s="6" t="n">
        <v>2251700</v>
      </c>
    </row>
    <row r="34" customFormat="false" ht="15" hidden="false" customHeight="false" outlineLevel="0" collapsed="false">
      <c r="A34" s="2" t="s">
        <v>78</v>
      </c>
      <c r="B34" s="2" t="n">
        <v>2023</v>
      </c>
      <c r="C34" s="2" t="s">
        <v>32</v>
      </c>
      <c r="D34" s="2" t="s">
        <v>75</v>
      </c>
      <c r="E34" s="2" t="s">
        <v>36</v>
      </c>
      <c r="F34" s="6" t="n">
        <v>139774</v>
      </c>
      <c r="G34" s="6" t="n">
        <v>139774</v>
      </c>
    </row>
    <row r="35" customFormat="false" ht="15" hidden="false" customHeight="false" outlineLevel="0" collapsed="false">
      <c r="A35" s="2" t="s">
        <v>78</v>
      </c>
      <c r="B35" s="2" t="n">
        <v>2023</v>
      </c>
      <c r="C35" s="2" t="s">
        <v>32</v>
      </c>
      <c r="D35" s="2" t="s">
        <v>79</v>
      </c>
      <c r="E35" s="2" t="s">
        <v>36</v>
      </c>
      <c r="F35" s="6" t="n">
        <v>147340</v>
      </c>
      <c r="G35" s="6" t="n">
        <v>147340</v>
      </c>
    </row>
    <row r="36" customFormat="false" ht="15" hidden="false" customHeight="false" outlineLevel="0" collapsed="false">
      <c r="A36" s="2" t="s">
        <v>78</v>
      </c>
      <c r="B36" s="2" t="n">
        <v>2023</v>
      </c>
      <c r="C36" s="2" t="s">
        <v>32</v>
      </c>
      <c r="D36" s="2" t="s">
        <v>80</v>
      </c>
      <c r="E36" s="2" t="s">
        <v>45</v>
      </c>
      <c r="F36" s="6" t="n">
        <v>113197</v>
      </c>
      <c r="G36" s="6" t="n">
        <v>113197</v>
      </c>
    </row>
    <row r="37" customFormat="false" ht="15" hidden="false" customHeight="false" outlineLevel="0" collapsed="false">
      <c r="A37" s="2" t="s">
        <v>78</v>
      </c>
      <c r="B37" s="2" t="n">
        <v>2023</v>
      </c>
      <c r="C37" s="2" t="s">
        <v>32</v>
      </c>
      <c r="D37" s="2" t="s">
        <v>81</v>
      </c>
      <c r="E37" s="2" t="s">
        <v>40</v>
      </c>
      <c r="F37" s="6" t="n">
        <v>75000</v>
      </c>
      <c r="G37" s="6" t="n">
        <v>75000</v>
      </c>
    </row>
    <row r="38" customFormat="false" ht="15" hidden="false" customHeight="false" outlineLevel="0" collapsed="false">
      <c r="A38" s="2" t="s">
        <v>82</v>
      </c>
      <c r="B38" s="2" t="n">
        <v>2023</v>
      </c>
      <c r="C38" s="2" t="s">
        <v>32</v>
      </c>
      <c r="D38" s="2" t="s">
        <v>83</v>
      </c>
      <c r="E38" s="2" t="s">
        <v>34</v>
      </c>
      <c r="F38" s="6" t="n">
        <v>109033</v>
      </c>
      <c r="G38" s="6" t="n">
        <v>109033</v>
      </c>
    </row>
    <row r="39" customFormat="false" ht="15" hidden="false" customHeight="false" outlineLevel="0" collapsed="false">
      <c r="A39" s="2" t="s">
        <v>82</v>
      </c>
      <c r="B39" s="2" t="n">
        <v>2023</v>
      </c>
      <c r="C39" s="2" t="s">
        <v>32</v>
      </c>
      <c r="D39" s="2" t="s">
        <v>84</v>
      </c>
      <c r="E39" s="2" t="s">
        <v>34</v>
      </c>
      <c r="F39" s="6" t="n">
        <v>3600</v>
      </c>
      <c r="G39" s="6" t="n">
        <v>3600</v>
      </c>
    </row>
    <row r="40" customFormat="false" ht="15" hidden="false" customHeight="false" outlineLevel="0" collapsed="false">
      <c r="A40" s="2" t="s">
        <v>82</v>
      </c>
      <c r="B40" s="2" t="n">
        <v>2023</v>
      </c>
      <c r="C40" s="2" t="s">
        <v>32</v>
      </c>
      <c r="D40" s="2" t="s">
        <v>85</v>
      </c>
      <c r="E40" s="2" t="s">
        <v>34</v>
      </c>
      <c r="F40" s="6" t="n">
        <v>2637</v>
      </c>
      <c r="G40" s="6" t="n">
        <v>2637</v>
      </c>
    </row>
    <row r="41" customFormat="false" ht="15" hidden="false" customHeight="false" outlineLevel="0" collapsed="false">
      <c r="A41" s="2" t="s">
        <v>82</v>
      </c>
      <c r="B41" s="2" t="n">
        <v>2023</v>
      </c>
      <c r="C41" s="2" t="s">
        <v>32</v>
      </c>
      <c r="D41" s="2" t="s">
        <v>86</v>
      </c>
      <c r="E41" s="2" t="s">
        <v>36</v>
      </c>
      <c r="F41" s="6" t="n">
        <v>159500</v>
      </c>
      <c r="G41" s="6" t="n">
        <v>159500</v>
      </c>
    </row>
    <row r="42" customFormat="false" ht="15" hidden="false" customHeight="false" outlineLevel="0" collapsed="false">
      <c r="A42" s="2" t="s">
        <v>82</v>
      </c>
      <c r="B42" s="2" t="n">
        <v>2023</v>
      </c>
      <c r="C42" s="2" t="s">
        <v>32</v>
      </c>
      <c r="D42" s="2" t="s">
        <v>87</v>
      </c>
      <c r="E42" s="2" t="s">
        <v>45</v>
      </c>
      <c r="F42" s="6" t="n">
        <v>525476</v>
      </c>
      <c r="G42" s="6" t="n">
        <v>525476</v>
      </c>
    </row>
    <row r="43" customFormat="false" ht="15" hidden="false" customHeight="false" outlineLevel="0" collapsed="false">
      <c r="A43" s="2" t="s">
        <v>82</v>
      </c>
      <c r="B43" s="2" t="n">
        <v>2023</v>
      </c>
      <c r="C43" s="2" t="s">
        <v>32</v>
      </c>
      <c r="D43" s="2" t="s">
        <v>88</v>
      </c>
      <c r="E43" s="2" t="s">
        <v>38</v>
      </c>
      <c r="F43" s="6" t="n">
        <v>322657</v>
      </c>
      <c r="G43" s="6" t="n">
        <v>322657</v>
      </c>
    </row>
    <row r="44" customFormat="false" ht="15" hidden="false" customHeight="false" outlineLevel="0" collapsed="false">
      <c r="A44" s="2" t="s">
        <v>82</v>
      </c>
      <c r="B44" s="2" t="n">
        <v>2023</v>
      </c>
      <c r="C44" s="2" t="s">
        <v>32</v>
      </c>
      <c r="D44" s="2" t="s">
        <v>89</v>
      </c>
      <c r="E44" s="2" t="s">
        <v>38</v>
      </c>
      <c r="F44" s="6" t="n">
        <v>19588</v>
      </c>
      <c r="G44" s="6" t="n">
        <v>19588</v>
      </c>
    </row>
    <row r="45" customFormat="false" ht="15" hidden="false" customHeight="false" outlineLevel="0" collapsed="false">
      <c r="A45" s="2" t="s">
        <v>82</v>
      </c>
      <c r="B45" s="2" t="n">
        <v>2023</v>
      </c>
      <c r="C45" s="2" t="s">
        <v>32</v>
      </c>
      <c r="D45" s="2" t="s">
        <v>90</v>
      </c>
      <c r="E45" s="2" t="s">
        <v>40</v>
      </c>
      <c r="F45" s="6" t="n">
        <v>8995</v>
      </c>
      <c r="G45" s="6" t="n">
        <v>8995</v>
      </c>
    </row>
    <row r="46" customFormat="false" ht="15" hidden="false" customHeight="false" outlineLevel="0" collapsed="false">
      <c r="A46" s="2" t="s">
        <v>91</v>
      </c>
      <c r="B46" s="2" t="n">
        <v>2023</v>
      </c>
      <c r="C46" s="2" t="s">
        <v>32</v>
      </c>
      <c r="D46" s="2" t="s">
        <v>92</v>
      </c>
      <c r="E46" s="2" t="s">
        <v>34</v>
      </c>
      <c r="F46" s="6" t="n">
        <v>300000</v>
      </c>
      <c r="G46" s="6" t="n">
        <v>300000</v>
      </c>
    </row>
    <row r="47" customFormat="false" ht="15" hidden="false" customHeight="false" outlineLevel="0" collapsed="false">
      <c r="A47" s="2" t="s">
        <v>91</v>
      </c>
      <c r="B47" s="2" t="n">
        <v>2023</v>
      </c>
      <c r="C47" s="2" t="s">
        <v>32</v>
      </c>
      <c r="D47" s="2" t="s">
        <v>93</v>
      </c>
      <c r="E47" s="2" t="s">
        <v>45</v>
      </c>
      <c r="F47" s="6" t="n">
        <v>759904</v>
      </c>
      <c r="G47" s="6" t="n">
        <v>759904</v>
      </c>
    </row>
    <row r="48" customFormat="false" ht="15" hidden="false" customHeight="false" outlineLevel="0" collapsed="false">
      <c r="A48" s="2" t="s">
        <v>91</v>
      </c>
      <c r="B48" s="2" t="n">
        <v>2023</v>
      </c>
      <c r="C48" s="2" t="s">
        <v>32</v>
      </c>
      <c r="D48" s="2" t="s">
        <v>79</v>
      </c>
      <c r="E48" s="2" t="s">
        <v>38</v>
      </c>
      <c r="F48" s="6" t="n">
        <v>55000</v>
      </c>
      <c r="G48" s="6" t="n">
        <v>55000</v>
      </c>
    </row>
    <row r="49" customFormat="false" ht="15" hidden="false" customHeight="false" outlineLevel="0" collapsed="false">
      <c r="A49" s="2" t="s">
        <v>91</v>
      </c>
      <c r="B49" s="2" t="n">
        <v>2023</v>
      </c>
      <c r="C49" s="2" t="s">
        <v>32</v>
      </c>
      <c r="D49" s="2" t="s">
        <v>94</v>
      </c>
      <c r="E49" s="2" t="s">
        <v>40</v>
      </c>
      <c r="F49" s="6" t="n">
        <v>417000</v>
      </c>
      <c r="G49" s="6" t="n">
        <v>417000</v>
      </c>
    </row>
    <row r="50" customFormat="false" ht="15" hidden="false" customHeight="false" outlineLevel="0" collapsed="false">
      <c r="A50" s="2" t="s">
        <v>95</v>
      </c>
      <c r="B50" s="2" t="n">
        <v>2023</v>
      </c>
      <c r="C50" s="2" t="s">
        <v>32</v>
      </c>
      <c r="D50" s="2" t="s">
        <v>35</v>
      </c>
      <c r="E50" s="2" t="s">
        <v>36</v>
      </c>
      <c r="F50" s="6" t="n">
        <v>13439</v>
      </c>
      <c r="G50" s="6" t="n">
        <v>13439</v>
      </c>
    </row>
    <row r="51" customFormat="false" ht="15" hidden="false" customHeight="false" outlineLevel="0" collapsed="false">
      <c r="A51" s="2" t="s">
        <v>95</v>
      </c>
      <c r="B51" s="2" t="n">
        <v>2023</v>
      </c>
      <c r="C51" s="2" t="s">
        <v>32</v>
      </c>
      <c r="D51" s="2" t="s">
        <v>96</v>
      </c>
      <c r="E51" s="2" t="s">
        <v>45</v>
      </c>
      <c r="F51" s="6" t="n">
        <v>286789</v>
      </c>
      <c r="G51" s="6" t="n">
        <v>286789</v>
      </c>
    </row>
    <row r="52" customFormat="false" ht="15" hidden="false" customHeight="false" outlineLevel="0" collapsed="false">
      <c r="A52" s="2" t="s">
        <v>97</v>
      </c>
      <c r="B52" s="2" t="n">
        <v>2023</v>
      </c>
      <c r="C52" s="2" t="s">
        <v>32</v>
      </c>
      <c r="D52" s="2" t="s">
        <v>98</v>
      </c>
      <c r="E52" s="2" t="s">
        <v>34</v>
      </c>
      <c r="F52" s="6" t="n">
        <v>302000</v>
      </c>
      <c r="G52" s="6" t="n">
        <v>302000</v>
      </c>
    </row>
    <row r="53" customFormat="false" ht="15" hidden="false" customHeight="false" outlineLevel="0" collapsed="false">
      <c r="A53" s="2" t="s">
        <v>97</v>
      </c>
      <c r="B53" s="2" t="n">
        <v>2023</v>
      </c>
      <c r="C53" s="2" t="s">
        <v>32</v>
      </c>
      <c r="D53" s="2" t="s">
        <v>99</v>
      </c>
      <c r="E53" s="2" t="s">
        <v>34</v>
      </c>
      <c r="F53" s="6" t="n">
        <v>90000</v>
      </c>
      <c r="G53" s="6" t="n">
        <v>90000</v>
      </c>
    </row>
    <row r="54" customFormat="false" ht="15" hidden="false" customHeight="false" outlineLevel="0" collapsed="false">
      <c r="A54" s="2" t="s">
        <v>97</v>
      </c>
      <c r="B54" s="2" t="n">
        <v>2023</v>
      </c>
      <c r="C54" s="2" t="s">
        <v>32</v>
      </c>
      <c r="D54" s="2" t="s">
        <v>100</v>
      </c>
      <c r="E54" s="2" t="s">
        <v>45</v>
      </c>
      <c r="F54" s="6" t="n">
        <v>20020</v>
      </c>
      <c r="G54" s="6" t="n">
        <v>20020</v>
      </c>
    </row>
    <row r="55" customFormat="false" ht="15" hidden="false" customHeight="false" outlineLevel="0" collapsed="false">
      <c r="A55" s="2" t="s">
        <v>97</v>
      </c>
      <c r="B55" s="2" t="n">
        <v>2023</v>
      </c>
      <c r="C55" s="2" t="s">
        <v>32</v>
      </c>
      <c r="D55" s="2" t="s">
        <v>101</v>
      </c>
      <c r="E55" s="2" t="s">
        <v>38</v>
      </c>
      <c r="F55" s="6" t="n">
        <v>11258</v>
      </c>
      <c r="G55" s="6" t="n">
        <v>11258</v>
      </c>
    </row>
    <row r="56" customFormat="false" ht="15" hidden="false" customHeight="false" outlineLevel="0" collapsed="false">
      <c r="A56" s="2" t="s">
        <v>97</v>
      </c>
      <c r="B56" s="2" t="n">
        <v>2023</v>
      </c>
      <c r="C56" s="2" t="s">
        <v>32</v>
      </c>
      <c r="D56" s="2" t="s">
        <v>102</v>
      </c>
      <c r="E56" s="2" t="s">
        <v>40</v>
      </c>
      <c r="F56" s="6" t="n">
        <v>248022</v>
      </c>
      <c r="G56" s="6" t="n">
        <v>248022</v>
      </c>
    </row>
    <row r="57" customFormat="false" ht="15" hidden="false" customHeight="false" outlineLevel="0" collapsed="false">
      <c r="A57" s="2" t="s">
        <v>103</v>
      </c>
      <c r="B57" s="2" t="n">
        <v>2023</v>
      </c>
      <c r="C57" s="2" t="s">
        <v>32</v>
      </c>
      <c r="D57" s="2" t="s">
        <v>104</v>
      </c>
      <c r="E57" s="2" t="s">
        <v>34</v>
      </c>
      <c r="F57" s="6" t="n">
        <v>6893385</v>
      </c>
      <c r="G57" s="6" t="n">
        <v>6893385</v>
      </c>
    </row>
    <row r="58" customFormat="false" ht="15" hidden="false" customHeight="false" outlineLevel="0" collapsed="false">
      <c r="A58" s="2" t="s">
        <v>103</v>
      </c>
      <c r="B58" s="2" t="n">
        <v>2023</v>
      </c>
      <c r="C58" s="2" t="s">
        <v>32</v>
      </c>
      <c r="D58" s="2" t="s">
        <v>105</v>
      </c>
      <c r="E58" s="2" t="s">
        <v>34</v>
      </c>
      <c r="F58" s="6" t="n">
        <v>1331174</v>
      </c>
      <c r="G58" s="6" t="n">
        <v>1331174</v>
      </c>
    </row>
    <row r="59" customFormat="false" ht="15" hidden="false" customHeight="false" outlineLevel="0" collapsed="false">
      <c r="A59" s="2" t="s">
        <v>103</v>
      </c>
      <c r="B59" s="2" t="n">
        <v>2023</v>
      </c>
      <c r="C59" s="2" t="s">
        <v>32</v>
      </c>
      <c r="D59" s="2" t="s">
        <v>106</v>
      </c>
      <c r="E59" s="2" t="s">
        <v>38</v>
      </c>
      <c r="F59" s="6" t="n">
        <v>1524431</v>
      </c>
      <c r="G59" s="6" t="n">
        <v>1524431</v>
      </c>
    </row>
    <row r="60" customFormat="false" ht="15" hidden="false" customHeight="false" outlineLevel="0" collapsed="false">
      <c r="A60" s="2" t="s">
        <v>103</v>
      </c>
      <c r="B60" s="2" t="n">
        <v>2023</v>
      </c>
      <c r="C60" s="2" t="s">
        <v>32</v>
      </c>
      <c r="D60" s="2" t="s">
        <v>107</v>
      </c>
      <c r="E60" s="2" t="s">
        <v>40</v>
      </c>
      <c r="F60" s="6" t="n">
        <v>400000</v>
      </c>
      <c r="G60" s="6" t="n">
        <v>400000</v>
      </c>
    </row>
    <row r="61" customFormat="false" ht="15" hidden="false" customHeight="false" outlineLevel="0" collapsed="false">
      <c r="A61" s="2" t="s">
        <v>108</v>
      </c>
      <c r="B61" s="2" t="n">
        <v>2023</v>
      </c>
      <c r="C61" s="2" t="s">
        <v>32</v>
      </c>
      <c r="D61" s="2" t="s">
        <v>109</v>
      </c>
      <c r="E61" s="2" t="s">
        <v>34</v>
      </c>
      <c r="F61" s="6" t="n">
        <v>139047</v>
      </c>
      <c r="G61" s="6" t="n">
        <v>139047</v>
      </c>
    </row>
    <row r="62" customFormat="false" ht="15" hidden="false" customHeight="false" outlineLevel="0" collapsed="false">
      <c r="A62" s="2" t="s">
        <v>108</v>
      </c>
      <c r="B62" s="2" t="n">
        <v>2023</v>
      </c>
      <c r="C62" s="2" t="s">
        <v>32</v>
      </c>
      <c r="D62" s="2" t="s">
        <v>110</v>
      </c>
      <c r="E62" s="2" t="s">
        <v>34</v>
      </c>
      <c r="F62" s="6" t="n">
        <v>500000</v>
      </c>
      <c r="G62" s="6" t="n">
        <v>500000</v>
      </c>
    </row>
    <row r="63" customFormat="false" ht="15" hidden="false" customHeight="false" outlineLevel="0" collapsed="false">
      <c r="A63" s="2" t="s">
        <v>108</v>
      </c>
      <c r="B63" s="2" t="n">
        <v>2023</v>
      </c>
      <c r="C63" s="2" t="s">
        <v>32</v>
      </c>
      <c r="D63" s="2" t="s">
        <v>111</v>
      </c>
      <c r="E63" s="2" t="s">
        <v>45</v>
      </c>
      <c r="F63" s="6" t="n">
        <v>500000</v>
      </c>
      <c r="G63" s="6" t="n">
        <v>500000</v>
      </c>
    </row>
    <row r="64" customFormat="false" ht="15" hidden="false" customHeight="false" outlineLevel="0" collapsed="false">
      <c r="A64" s="2" t="s">
        <v>108</v>
      </c>
      <c r="B64" s="2" t="n">
        <v>2023</v>
      </c>
      <c r="C64" s="2" t="s">
        <v>32</v>
      </c>
      <c r="D64" s="2" t="s">
        <v>112</v>
      </c>
      <c r="E64" s="2" t="s">
        <v>38</v>
      </c>
      <c r="F64" s="6" t="n">
        <v>1274372</v>
      </c>
      <c r="G64" s="6" t="n">
        <v>1274372</v>
      </c>
    </row>
    <row r="65" customFormat="false" ht="15" hidden="false" customHeight="false" outlineLevel="0" collapsed="false">
      <c r="A65" s="2" t="s">
        <v>108</v>
      </c>
      <c r="B65" s="2" t="n">
        <v>2023</v>
      </c>
      <c r="C65" s="2" t="s">
        <v>32</v>
      </c>
      <c r="D65" s="2" t="s">
        <v>113</v>
      </c>
      <c r="E65" s="2" t="s">
        <v>40</v>
      </c>
      <c r="F65" s="6" t="n">
        <v>835199</v>
      </c>
      <c r="G65" s="6" t="n">
        <v>835199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8" min="3" style="0" width="18"/>
  </cols>
  <sheetData>
    <row r="1" customFormat="false" ht="15" hidden="false" customHeight="false" outlineLevel="0" collapsed="false">
      <c r="A1" s="5" t="s">
        <v>24</v>
      </c>
      <c r="B1" s="5" t="s">
        <v>25</v>
      </c>
      <c r="C1" s="5" t="s">
        <v>38</v>
      </c>
      <c r="D1" s="5" t="s">
        <v>34</v>
      </c>
      <c r="E1" s="5" t="s">
        <v>45</v>
      </c>
      <c r="F1" s="5" t="s">
        <v>40</v>
      </c>
      <c r="G1" s="5" t="s">
        <v>36</v>
      </c>
      <c r="H1" s="5" t="s">
        <v>114</v>
      </c>
    </row>
    <row r="2" customFormat="false" ht="15" hidden="false" customHeight="false" outlineLevel="0" collapsed="false">
      <c r="A2" s="2" t="s">
        <v>31</v>
      </c>
      <c r="B2" s="2" t="n">
        <v>2023</v>
      </c>
      <c r="C2" s="6" t="n">
        <v>2000</v>
      </c>
      <c r="D2" s="6" t="n">
        <v>8369684</v>
      </c>
      <c r="E2" s="6" t="n">
        <v>0</v>
      </c>
      <c r="F2" s="6" t="n">
        <v>1135531</v>
      </c>
      <c r="G2" s="6" t="n">
        <v>10000</v>
      </c>
      <c r="H2" s="7" t="n">
        <f aca="false">SUM(C2:G2)</f>
        <v>9517215</v>
      </c>
    </row>
    <row r="3" customFormat="false" ht="15" hidden="false" customHeight="false" outlineLevel="0" collapsed="false">
      <c r="A3" s="2" t="s">
        <v>41</v>
      </c>
      <c r="B3" s="2" t="n">
        <v>2023</v>
      </c>
      <c r="C3" s="6" t="n">
        <v>303000</v>
      </c>
      <c r="D3" s="6" t="n">
        <v>0</v>
      </c>
      <c r="E3" s="6" t="n">
        <v>290000</v>
      </c>
      <c r="F3" s="6" t="n">
        <v>212000</v>
      </c>
      <c r="G3" s="6" t="n">
        <v>678000</v>
      </c>
      <c r="H3" s="7" t="n">
        <f aca="false">SUM(C3:G3)</f>
        <v>1483000</v>
      </c>
    </row>
    <row r="4" customFormat="false" ht="15" hidden="false" customHeight="false" outlineLevel="0" collapsed="false">
      <c r="A4" s="2" t="s">
        <v>48</v>
      </c>
      <c r="B4" s="2" t="n">
        <v>2022</v>
      </c>
      <c r="C4" s="6" t="n">
        <v>0</v>
      </c>
      <c r="D4" s="6" t="n">
        <v>0</v>
      </c>
      <c r="E4" s="6" t="n">
        <v>431249</v>
      </c>
      <c r="F4" s="6" t="n">
        <v>0</v>
      </c>
      <c r="G4" s="6" t="n">
        <v>2568</v>
      </c>
      <c r="H4" s="7" t="n">
        <f aca="false">SUM(C4:G4)</f>
        <v>433817</v>
      </c>
    </row>
    <row r="5" customFormat="false" ht="15" hidden="false" customHeight="false" outlineLevel="0" collapsed="false">
      <c r="A5" s="2" t="s">
        <v>51</v>
      </c>
      <c r="B5" s="2" t="n">
        <v>2023</v>
      </c>
      <c r="C5" s="6" t="n">
        <v>1916300</v>
      </c>
      <c r="D5" s="6" t="n">
        <v>11137640</v>
      </c>
      <c r="E5" s="6" t="n">
        <v>380000</v>
      </c>
      <c r="F5" s="6" t="n">
        <v>608031</v>
      </c>
      <c r="G5" s="6" t="n">
        <v>0</v>
      </c>
      <c r="H5" s="7" t="n">
        <f aca="false">SUM(C5:G5)</f>
        <v>14041971</v>
      </c>
    </row>
    <row r="6" customFormat="false" ht="15" hidden="false" customHeight="false" outlineLevel="0" collapsed="false">
      <c r="A6" s="2" t="s">
        <v>57</v>
      </c>
      <c r="B6" s="2" t="n">
        <v>2023</v>
      </c>
      <c r="C6" s="6" t="n">
        <v>693835</v>
      </c>
      <c r="D6" s="6" t="n">
        <v>3339642</v>
      </c>
      <c r="E6" s="6" t="n">
        <v>0</v>
      </c>
      <c r="F6" s="6" t="n">
        <v>4293929</v>
      </c>
      <c r="G6" s="6" t="n">
        <v>0</v>
      </c>
      <c r="H6" s="7" t="n">
        <f aca="false">SUM(C6:G6)</f>
        <v>8327406</v>
      </c>
    </row>
    <row r="7" customFormat="false" ht="15" hidden="false" customHeight="false" outlineLevel="0" collapsed="false">
      <c r="A7" s="2" t="s">
        <v>64</v>
      </c>
      <c r="B7" s="2" t="n">
        <v>2024</v>
      </c>
      <c r="C7" s="6" t="n">
        <v>147604</v>
      </c>
      <c r="D7" s="6" t="n">
        <v>464600</v>
      </c>
      <c r="E7" s="6" t="n">
        <v>654856</v>
      </c>
      <c r="F7" s="6" t="n">
        <v>276000</v>
      </c>
      <c r="G7" s="6" t="n">
        <v>0</v>
      </c>
      <c r="H7" s="7" t="n">
        <f aca="false">SUM(C7:G7)</f>
        <v>1543060</v>
      </c>
    </row>
    <row r="8" customFormat="false" ht="15" hidden="false" customHeight="false" outlineLevel="0" collapsed="false">
      <c r="A8" s="2" t="s">
        <v>72</v>
      </c>
      <c r="B8" s="2" t="n">
        <v>2023</v>
      </c>
      <c r="C8" s="6" t="n">
        <v>2251700</v>
      </c>
      <c r="D8" s="6" t="n">
        <v>21555600</v>
      </c>
      <c r="E8" s="6" t="n">
        <v>895850</v>
      </c>
      <c r="F8" s="6" t="n">
        <v>0</v>
      </c>
      <c r="G8" s="6" t="n">
        <v>31050</v>
      </c>
      <c r="H8" s="7" t="n">
        <f aca="false">SUM(C8:G8)</f>
        <v>24734200</v>
      </c>
    </row>
    <row r="9" customFormat="false" ht="15" hidden="false" customHeight="false" outlineLevel="0" collapsed="false">
      <c r="A9" s="2" t="s">
        <v>78</v>
      </c>
      <c r="B9" s="2" t="n">
        <v>2023</v>
      </c>
      <c r="C9" s="6" t="n">
        <v>0</v>
      </c>
      <c r="D9" s="6" t="n">
        <v>0</v>
      </c>
      <c r="E9" s="6" t="n">
        <v>113197</v>
      </c>
      <c r="F9" s="6" t="n">
        <v>75000</v>
      </c>
      <c r="G9" s="6" t="n">
        <v>287114</v>
      </c>
      <c r="H9" s="7" t="n">
        <f aca="false">SUM(C9:G9)</f>
        <v>475311</v>
      </c>
    </row>
    <row r="10" customFormat="false" ht="15" hidden="false" customHeight="false" outlineLevel="0" collapsed="false">
      <c r="A10" s="2" t="s">
        <v>82</v>
      </c>
      <c r="B10" s="2" t="n">
        <v>2023</v>
      </c>
      <c r="C10" s="6" t="n">
        <v>342245</v>
      </c>
      <c r="D10" s="6" t="n">
        <v>115270</v>
      </c>
      <c r="E10" s="6" t="n">
        <v>525476</v>
      </c>
      <c r="F10" s="6" t="n">
        <v>8995</v>
      </c>
      <c r="G10" s="6" t="n">
        <v>159500</v>
      </c>
      <c r="H10" s="7" t="n">
        <f aca="false">SUM(C10:G10)</f>
        <v>1151486</v>
      </c>
    </row>
    <row r="11" customFormat="false" ht="15" hidden="false" customHeight="false" outlineLevel="0" collapsed="false">
      <c r="A11" s="2" t="s">
        <v>91</v>
      </c>
      <c r="B11" s="2" t="n">
        <v>2023</v>
      </c>
      <c r="C11" s="6" t="n">
        <v>55000</v>
      </c>
      <c r="D11" s="6" t="n">
        <v>300000</v>
      </c>
      <c r="E11" s="6" t="n">
        <v>759904</v>
      </c>
      <c r="F11" s="6" t="n">
        <v>417000</v>
      </c>
      <c r="G11" s="6" t="n">
        <v>0</v>
      </c>
      <c r="H11" s="7" t="n">
        <f aca="false">SUM(C11:G11)</f>
        <v>1531904</v>
      </c>
    </row>
    <row r="12" customFormat="false" ht="15" hidden="false" customHeight="false" outlineLevel="0" collapsed="false">
      <c r="A12" s="2" t="s">
        <v>95</v>
      </c>
      <c r="B12" s="2" t="n">
        <v>2023</v>
      </c>
      <c r="C12" s="6" t="n">
        <v>0</v>
      </c>
      <c r="D12" s="6" t="n">
        <v>0</v>
      </c>
      <c r="E12" s="6" t="n">
        <v>286789</v>
      </c>
      <c r="F12" s="6" t="n">
        <v>0</v>
      </c>
      <c r="G12" s="6" t="n">
        <v>13439</v>
      </c>
      <c r="H12" s="7" t="n">
        <f aca="false">SUM(C12:G12)</f>
        <v>300228</v>
      </c>
    </row>
    <row r="13" customFormat="false" ht="15" hidden="false" customHeight="false" outlineLevel="0" collapsed="false">
      <c r="A13" s="2" t="s">
        <v>97</v>
      </c>
      <c r="B13" s="2" t="n">
        <v>2023</v>
      </c>
      <c r="C13" s="6" t="n">
        <v>11258</v>
      </c>
      <c r="D13" s="6" t="n">
        <v>392000</v>
      </c>
      <c r="E13" s="6" t="n">
        <v>20020</v>
      </c>
      <c r="F13" s="6" t="n">
        <v>248022</v>
      </c>
      <c r="G13" s="6" t="n">
        <v>0</v>
      </c>
      <c r="H13" s="7" t="n">
        <f aca="false">SUM(C13:G13)</f>
        <v>671300</v>
      </c>
    </row>
    <row r="14" customFormat="false" ht="15" hidden="false" customHeight="false" outlineLevel="0" collapsed="false">
      <c r="A14" s="2" t="s">
        <v>103</v>
      </c>
      <c r="B14" s="2" t="n">
        <v>2023</v>
      </c>
      <c r="C14" s="6" t="n">
        <v>1524431</v>
      </c>
      <c r="D14" s="6" t="n">
        <v>8224559</v>
      </c>
      <c r="E14" s="6" t="n">
        <v>0</v>
      </c>
      <c r="F14" s="6" t="n">
        <v>400000</v>
      </c>
      <c r="G14" s="6" t="n">
        <v>0</v>
      </c>
      <c r="H14" s="7" t="n">
        <f aca="false">SUM(C14:G14)</f>
        <v>10148990</v>
      </c>
    </row>
    <row r="15" customFormat="false" ht="15" hidden="false" customHeight="false" outlineLevel="0" collapsed="false">
      <c r="A15" s="2" t="s">
        <v>108</v>
      </c>
      <c r="B15" s="2" t="n">
        <v>2023</v>
      </c>
      <c r="C15" s="6" t="n">
        <v>1274372</v>
      </c>
      <c r="D15" s="6" t="n">
        <v>639047</v>
      </c>
      <c r="E15" s="6" t="n">
        <v>500000</v>
      </c>
      <c r="F15" s="6" t="n">
        <v>835199</v>
      </c>
      <c r="G15" s="6" t="n">
        <v>0</v>
      </c>
      <c r="H15" s="7" t="n">
        <f aca="false">SUM(C15:G15)</f>
        <v>3248618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5" t="s">
        <v>115</v>
      </c>
      <c r="B1" s="5" t="s">
        <v>116</v>
      </c>
      <c r="C1" s="5" t="s">
        <v>117</v>
      </c>
    </row>
    <row r="2" customFormat="false" ht="15" hidden="false" customHeight="false" outlineLevel="0" collapsed="false">
      <c r="A2" s="3" t="s">
        <v>38</v>
      </c>
      <c r="B2" s="3" t="s">
        <v>118</v>
      </c>
      <c r="C2" s="3" t="s">
        <v>119</v>
      </c>
    </row>
    <row r="3" customFormat="false" ht="26.85" hidden="false" customHeight="false" outlineLevel="0" collapsed="false">
      <c r="A3" s="3" t="s">
        <v>34</v>
      </c>
      <c r="B3" s="3" t="s">
        <v>120</v>
      </c>
      <c r="C3" s="3" t="s">
        <v>121</v>
      </c>
    </row>
    <row r="4" customFormat="false" ht="26.85" hidden="false" customHeight="false" outlineLevel="0" collapsed="false">
      <c r="A4" s="3" t="s">
        <v>45</v>
      </c>
      <c r="B4" s="3" t="s">
        <v>122</v>
      </c>
      <c r="C4" s="3" t="s">
        <v>123</v>
      </c>
    </row>
    <row r="5" customFormat="false" ht="26.85" hidden="false" customHeight="false" outlineLevel="0" collapsed="false">
      <c r="A5" s="3" t="s">
        <v>40</v>
      </c>
      <c r="B5" s="3" t="s">
        <v>124</v>
      </c>
      <c r="C5" s="3" t="s">
        <v>125</v>
      </c>
    </row>
    <row r="6" customFormat="false" ht="26.85" hidden="false" customHeight="false" outlineLevel="0" collapsed="false">
      <c r="A6" s="3" t="s">
        <v>36</v>
      </c>
      <c r="B6" s="3" t="s">
        <v>126</v>
      </c>
      <c r="C6" s="3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2026-04-29T20:47:36Z</dcterms:created>
  <dc:creator>openpyxl</dc:creator>
  <dc:description/>
  <dc:language>en-US</dc:language>
  <cp:lastModifiedBy/>
  <dcterms:modified xsi:type="dcterms:W3CDTF">2026-04-29T20:47:36Z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